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dson\Desktop\"/>
    </mc:Choice>
  </mc:AlternateContent>
  <xr:revisionPtr revIDLastSave="0" documentId="8_{AA459B84-2224-4F21-84BF-62CCEA6CEB51}" xr6:coauthVersionLast="47" xr6:coauthVersionMax="47" xr10:uidLastSave="{00000000-0000-0000-0000-000000000000}"/>
  <bookViews>
    <workbookView xWindow="23880" yWindow="2670" windowWidth="20730" windowHeight="11310" tabRatio="559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25" i="3"/>
</calcChain>
</file>

<file path=xl/sharedStrings.xml><?xml version="1.0" encoding="utf-8"?>
<sst xmlns="http://schemas.openxmlformats.org/spreadsheetml/2006/main" count="2024" uniqueCount="327">
  <si>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</si>
  <si>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</si>
  <si>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</si>
  <si>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</si>
  <si>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</si>
  <si>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</si>
  <si>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</si>
  <si>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</si>
  <si>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</si>
  <si>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</si>
  <si>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</si>
  <si>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</si>
  <si>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</si>
  <si>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</si>
  <si>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</si>
  <si>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</si>
  <si>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</si>
  <si>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</si>
  <si>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</si>
  <si>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</si>
  <si>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</si>
  <si>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</si>
  <si>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</si>
  <si>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</si>
  <si>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</si>
  <si>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</si>
  <si>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</si>
  <si>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</si>
  <si>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</si>
  <si>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</si>
  <si>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</si>
  <si>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</si>
  <si>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</si>
  <si>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</si>
  <si>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</si>
  <si>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</si>
  <si>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</si>
  <si>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</si>
  <si>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</si>
  <si>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</si>
  <si>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</si>
  <si>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</si>
  <si>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</si>
  <si>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</si>
  <si>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</si>
  <si>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</si>
  <si>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</si>
  <si>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</si>
  <si>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</si>
  <si>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</si>
  <si>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</si>
  <si>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</si>
  <si>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</si>
  <si>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</si>
  <si>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</si>
  <si>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</si>
  <si>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</si>
  <si>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</si>
  <si>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</si>
  <si>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</si>
  <si>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</si>
  <si>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</si>
  <si>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</si>
  <si>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</si>
  <si>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</si>
  <si>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</si>
  <si>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</si>
  <si>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</si>
  <si>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</si>
  <si>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</si>
  <si>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</si>
  <si>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</si>
  <si>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</si>
  <si>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</si>
  <si>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</si>
  <si>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</si>
  <si>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</si>
  <si>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</si>
  <si>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</si>
  <si>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</si>
  <si>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</si>
  <si>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</si>
  <si>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</si>
  <si>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</si>
  <si>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</si>
  <si>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</si>
  <si>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</si>
  <si>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</si>
  <si>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</si>
  <si>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</si>
  <si>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</si>
  <si>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</si>
  <si>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</si>
  <si>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</si>
  <si>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</si>
  <si>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</si>
  <si>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</si>
  <si>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</si>
  <si>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</si>
  <si>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</si>
  <si>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</si>
  <si>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</si>
  <si>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</si>
  <si>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</si>
  <si>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</si>
  <si>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</si>
  <si>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</si>
  <si>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</si>
  <si>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</si>
  <si>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</si>
  <si>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</si>
  <si>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</si>
  <si>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</si>
  <si>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</si>
  <si>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</si>
  <si>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</si>
  <si>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</si>
  <si>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</si>
  <si>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</si>
  <si>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</si>
  <si>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</si>
  <si>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</si>
  <si>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</si>
  <si>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</si>
  <si>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</si>
  <si>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</si>
  <si>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</si>
  <si>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</si>
  <si>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</si>
  <si>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</si>
  <si>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</si>
  <si>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</si>
  <si>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</si>
  <si>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</si>
  <si>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</si>
  <si>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</si>
  <si>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</si>
  <si>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</si>
  <si>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</si>
  <si>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</si>
  <si>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</si>
  <si>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</si>
  <si>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</si>
  <si>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</si>
  <si>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</si>
  <si>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</si>
  <si>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</si>
  <si>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</si>
  <si>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</si>
  <si>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</si>
  <si>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</si>
  <si>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</si>
  <si>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</si>
  <si>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</si>
  <si>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</si>
  <si>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</si>
  <si>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</si>
  <si>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</si>
  <si>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</si>
  <si>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</si>
  <si>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</si>
  <si>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</si>
  <si>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</si>
  <si>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</si>
  <si>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</si>
  <si>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</si>
  <si>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</si>
  <si>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</si>
  <si>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</si>
  <si>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</si>
  <si>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</si>
  <si>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</si>
  <si>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</si>
  <si>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</si>
  <si>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</si>
  <si>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</si>
  <si>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</si>
  <si>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</si>
  <si>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</si>
  <si>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</si>
  <si>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</si>
  <si>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</si>
  <si>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</si>
  <si>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</si>
  <si>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</si>
  <si>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</si>
  <si>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</si>
  <si>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</si>
  <si>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</si>
  <si>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</si>
  <si>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</si>
  <si>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</si>
  <si>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</si>
  <si>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</si>
  <si>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</si>
  <si>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</si>
  <si>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</si>
  <si>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</si>
  <si>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</si>
  <si>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</si>
  <si>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</si>
  <si>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</si>
  <si>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</si>
  <si>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</si>
  <si>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</si>
  <si>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</si>
  <si>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</si>
  <si>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</si>
  <si>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</si>
  <si>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</si>
  <si>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</si>
  <si>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</si>
  <si>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</si>
  <si>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</si>
  <si>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</si>
  <si>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</si>
  <si>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</si>
  <si>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</si>
  <si>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</si>
  <si>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</si>
  <si>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</si>
  <si>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</si>
  <si>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</si>
  <si>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</si>
  <si>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</si>
  <si>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</si>
  <si>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</si>
  <si>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</si>
  <si>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</si>
  <si>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</si>
  <si>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</si>
  <si>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</si>
  <si>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</si>
  <si>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</si>
  <si>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</si>
  <si>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</si>
  <si>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</si>
  <si>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</si>
  <si>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</si>
  <si>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</si>
  <si>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</si>
  <si>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</si>
  <si>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</si>
  <si>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</si>
  <si>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</si>
  <si>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</si>
  <si>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</si>
  <si>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</si>
  <si>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</si>
  <si>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</si>
  <si>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</si>
  <si>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</si>
  <si>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</si>
  <si>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</si>
  <si>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</si>
  <si>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</si>
  <si>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</si>
  <si>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</si>
  <si>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</si>
  <si>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</si>
  <si>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</si>
  <si>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</si>
  <si>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</si>
  <si>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</si>
  <si>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</si>
  <si>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</si>
  <si>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</si>
  <si>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</si>
  <si>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</si>
  <si>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</si>
  <si>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</si>
  <si>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</si>
  <si>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</si>
  <si>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</si>
  <si>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</si>
  <si>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</si>
  <si>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</si>
  <si>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</si>
  <si>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</si>
  <si>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</si>
  <si>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</si>
  <si>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</si>
  <si>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</si>
  <si>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</si>
  <si>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</si>
  <si>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</si>
  <si>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</si>
  <si>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</si>
  <si>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</si>
  <si>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</si>
  <si>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</si>
  <si>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</si>
  <si>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</si>
  <si>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</si>
  <si>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</si>
  <si>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</si>
  <si>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</si>
  <si>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</si>
  <si>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</si>
  <si>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</si>
  <si>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</si>
  <si>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</si>
  <si>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</si>
  <si>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</si>
  <si>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</si>
  <si>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</si>
  <si>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</si>
  <si>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</si>
  <si>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</si>
  <si>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</si>
  <si>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</si>
  <si>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</si>
  <si>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</si>
  <si>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</si>
  <si>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</si>
  <si>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</si>
  <si>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</si>
  <si>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t>(Tudo)</t>
  </si>
  <si>
    <t>Qual o faturamento total de vendas de planos anuais separado por auto renovação ou que não é por auto renovação.</t>
  </si>
  <si>
    <t>Faturamento total de vendas de planos anuais (contendo todas as assinaturas agregadas);.</t>
  </si>
  <si>
    <t>XBOX GAME PASS SUBSCRIPTIONS SALES</t>
  </si>
  <si>
    <t>Pergunta de Negócio 3: Total de Vendas de Assinaturas do EA Play.</t>
  </si>
  <si>
    <t>Soma de EA Play Season Pass</t>
  </si>
  <si>
    <t>Pergunta de Negócio 4: Total de Assinaturas do Minecraft Season Pass</t>
  </si>
  <si>
    <t>Soma de Minecraft Season Pass Price</t>
  </si>
  <si>
    <t>&gt; Bem vinda, Gestora</t>
  </si>
  <si>
    <t>Período de apuração: 01/01/2024 - 31/12/2024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</si>
</sst>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"/>
      <family val="2"/>
    </font>
    <font>
      <b/>
      <sz val="18"/>
      <color rgb="FF22C55E"/>
      <name val="Aptos"/>
      <family val="2"/>
    </font>
    <font>
      <b/>
      <sz val="11"/>
      <color theme="0"/>
      <name val="Aptos"/>
      <family val="2"/>
    </font>
    <font>
      <b/>
      <sz val="12"/>
      <color theme="2" tint="-0.499984740745262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7" fillId="5" borderId="0" xfId="0" applyFont="1" applyFill="1" applyAlignment="1">
      <alignment horizontal="left" indent="1"/>
    </xf>
    <xf numFmtId="0" fontId="6" fillId="0" borderId="2" xfId="1" applyFont="1" applyFill="1" applyBorder="1" applyAlignment="1"/>
    <xf numFmtId="0" fontId="6" fillId="0" borderId="2" xfId="1" applyFont="1" applyFill="1" applyBorder="1" applyAlignment="1">
      <alignment horizontal="center"/>
    </xf>
    <xf numFmtId="0" fontId="8" fillId="0" borderId="2" xfId="1" applyFont="1" applyFill="1" applyBorder="1" applyAlignment="1">
      <alignment horizontal="center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8"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43E22B21-A76D-4435-B410-D015613EF107}">
      <tableStyleElement type="wholeTable" dxfId="17"/>
      <tableStyleElement type="headerRow" dxfId="16"/>
    </tableStyle>
  </tableStyles>
  <colors>
    <mruColors>
      <color rgb="FF22C55E"/>
      <color rgb="FF2AE6B1"/>
      <color rgb="FF5BF6A8"/>
      <color rgb="FFF7F8FC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F-4FE0-AA73-CE1D174537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2563920"/>
        <c:axId val="1043871743"/>
      </c:barChart>
      <c:catAx>
        <c:axId val="65256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871743"/>
        <c:crosses val="autoZero"/>
        <c:auto val="1"/>
        <c:lblAlgn val="ctr"/>
        <c:lblOffset val="100"/>
        <c:noMultiLvlLbl val="0"/>
      </c:catAx>
      <c:valAx>
        <c:axId val="10438717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5256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214314</xdr:colOff>
      <xdr:row>0</xdr:row>
      <xdr:rowOff>59530</xdr:rowOff>
    </xdr:from>
    <xdr:to>
      <xdr:col>2</xdr:col>
      <xdr:colOff>576604</xdr:colOff>
      <xdr:row>2</xdr:row>
      <xdr:rowOff>59530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FAD5FE-FE05-4235-AD9D-8C10EE981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5143" r="72359" b="17302"/>
        <a:stretch>
          <a:fillRect/>
        </a:stretch>
      </xdr:blipFill>
      <xdr:spPr>
        <a:xfrm>
          <a:off x="2200957" y="59530"/>
          <a:ext cx="607218" cy="680357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absolute">
    <xdr:from>
      <xdr:col>0</xdr:col>
      <xdr:colOff>69057</xdr:colOff>
      <xdr:row>6</xdr:row>
      <xdr:rowOff>18710</xdr:rowOff>
    </xdr:from>
    <xdr:to>
      <xdr:col>0</xdr:col>
      <xdr:colOff>1897857</xdr:colOff>
      <xdr:row>12</xdr:row>
      <xdr:rowOff>40481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0809B1B-B732-424C-AD9B-692E0B7FE0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7" y="1270567"/>
              <a:ext cx="1828800" cy="13280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321468</xdr:colOff>
      <xdr:row>3</xdr:row>
      <xdr:rowOff>186393</xdr:rowOff>
    </xdr:from>
    <xdr:to>
      <xdr:col>8</xdr:col>
      <xdr:colOff>404813</xdr:colOff>
      <xdr:row>9</xdr:row>
      <xdr:rowOff>132669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A4ABCEB-62E2-6156-2B0F-CB1308134101}"/>
            </a:ext>
          </a:extLst>
        </xdr:cNvPr>
        <xdr:cNvGrpSpPr/>
      </xdr:nvGrpSpPr>
      <xdr:grpSpPr>
        <a:xfrm>
          <a:off x="2553039" y="1016429"/>
          <a:ext cx="3757274" cy="1102883"/>
          <a:chOff x="2547066" y="1025390"/>
          <a:chExt cx="3735369" cy="110321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42913E1-6A5D-9028-DB08-2AAB8D660931}"/>
              </a:ext>
            </a:extLst>
          </xdr:cNvPr>
          <xdr:cNvSpPr/>
        </xdr:nvSpPr>
        <xdr:spPr>
          <a:xfrm>
            <a:off x="2547066" y="1093052"/>
            <a:ext cx="3735369" cy="1035553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D124109-3544-EFBE-F0C7-1FBB63A76F37}"/>
              </a:ext>
            </a:extLst>
          </xdr:cNvPr>
          <xdr:cNvSpPr/>
        </xdr:nvSpPr>
        <xdr:spPr>
          <a:xfrm>
            <a:off x="4063516" y="1445303"/>
            <a:ext cx="2052231" cy="596765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F579253-56D1-4BE9-94DC-EF0456FF17F5}" type="TxLink">
              <a:rPr lang="en-US" sz="2400" b="0" i="0" u="none" strike="noStrike">
                <a:solidFill>
                  <a:srgbClr val="22C55E"/>
                </a:solidFill>
                <a:latin typeface="Aptos" panose="020B0004020202020204" pitchFamily="34" charset="0"/>
              </a:rPr>
              <a:pPr algn="ctr"/>
              <a:t>R$ 2.940,00</a:t>
            </a:fld>
            <a:endParaRPr lang="pt-BR" sz="2400">
              <a:solidFill>
                <a:srgbClr val="22C55E"/>
              </a:solidFill>
              <a:latin typeface="Aptos" panose="020B0004020202020204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A63466EC-C0BF-4EBA-9246-7139B714339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7344" b="30664"/>
          <a:stretch>
            <a:fillRect/>
          </a:stretch>
        </xdr:blipFill>
        <xdr:spPr>
          <a:xfrm>
            <a:off x="2749472" y="1482327"/>
            <a:ext cx="1222104" cy="513421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B821809-C746-BEBB-7F9C-DDA5C7218BE6}"/>
              </a:ext>
            </a:extLst>
          </xdr:cNvPr>
          <xdr:cNvSpPr/>
        </xdr:nvSpPr>
        <xdr:spPr>
          <a:xfrm>
            <a:off x="2547066" y="1025390"/>
            <a:ext cx="3734712" cy="33395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  <a:latin typeface="Aptos" panose="020B0004020202020204" pitchFamily="34" charset="0"/>
              </a:rPr>
              <a:t>TOTAL SUBSCRIPTIONS EA PLAY</a:t>
            </a:r>
            <a:r>
              <a:rPr lang="pt-BR" sz="1100" b="1" baseline="0">
                <a:solidFill>
                  <a:sysClr val="windowText" lastClr="000000"/>
                </a:solidFill>
                <a:latin typeface="Aptos" panose="020B0004020202020204" pitchFamily="34" charset="0"/>
              </a:rPr>
              <a:t> SEASON PASS</a:t>
            </a:r>
            <a:endParaRPr lang="pt-BR" sz="1100" b="1">
              <a:solidFill>
                <a:sysClr val="windowText" lastClr="000000"/>
              </a:solidFill>
              <a:latin typeface="Aptos" panose="020B0004020202020204" pitchFamily="34" charset="0"/>
            </a:endParaRPr>
          </a:p>
        </xdr:txBody>
      </xdr:sp>
    </xdr:grpSp>
    <xdr:clientData/>
  </xdr:twoCellAnchor>
  <xdr:twoCellAnchor>
    <xdr:from>
      <xdr:col>10</xdr:col>
      <xdr:colOff>90146</xdr:colOff>
      <xdr:row>3</xdr:row>
      <xdr:rowOff>186393</xdr:rowOff>
    </xdr:from>
    <xdr:to>
      <xdr:col>16</xdr:col>
      <xdr:colOff>350384</xdr:colOff>
      <xdr:row>9</xdr:row>
      <xdr:rowOff>132669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29C61267-4093-79DA-6AE2-42A0C8CDBF09}"/>
            </a:ext>
          </a:extLst>
        </xdr:cNvPr>
        <xdr:cNvGrpSpPr/>
      </xdr:nvGrpSpPr>
      <xdr:grpSpPr>
        <a:xfrm>
          <a:off x="7220289" y="1016429"/>
          <a:ext cx="3757274" cy="1102883"/>
          <a:chOff x="7220289" y="1016429"/>
          <a:chExt cx="3757274" cy="1102883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FCDEE015-997C-FAD6-694C-71329DAEBF48}"/>
              </a:ext>
            </a:extLst>
          </xdr:cNvPr>
          <xdr:cNvGrpSpPr/>
        </xdr:nvGrpSpPr>
        <xdr:grpSpPr>
          <a:xfrm>
            <a:off x="7220289" y="1016429"/>
            <a:ext cx="3757274" cy="1102883"/>
            <a:chOff x="2547066" y="1025390"/>
            <a:chExt cx="3735369" cy="110321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5DB46394-07B4-047D-BFD8-861AC58A417A}"/>
                </a:ext>
              </a:extLst>
            </xdr:cNvPr>
            <xdr:cNvSpPr/>
          </xdr:nvSpPr>
          <xdr:spPr>
            <a:xfrm>
              <a:off x="2547066" y="1093052"/>
              <a:ext cx="3735369" cy="1035553"/>
            </a:xfrm>
            <a:prstGeom prst="round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06ED69F6-B6DE-657E-FBB3-AE1DB9D469A1}"/>
                </a:ext>
              </a:extLst>
            </xdr:cNvPr>
            <xdr:cNvSpPr/>
          </xdr:nvSpPr>
          <xdr:spPr>
            <a:xfrm>
              <a:off x="4063516" y="1445303"/>
              <a:ext cx="2052231" cy="596765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C9146898-A459-4577-9167-3E0838D0B909}" type="TxLink">
                <a:rPr lang="en-US" sz="2400" b="0" i="0" u="none" strike="noStrike">
                  <a:solidFill>
                    <a:srgbClr val="22C55E"/>
                  </a:solidFill>
                  <a:latin typeface="Aptos" panose="020B0004020202020204" pitchFamily="34" charset="0"/>
                  <a:ea typeface="+mn-ea"/>
                  <a:cs typeface="+mn-cs"/>
                </a:rPr>
                <a:pPr marL="0" indent="0" algn="ctr"/>
                <a:t>R$ 3.880,00</a:t>
              </a:fld>
              <a:endParaRPr lang="pt-BR" sz="2400" b="0" i="0" u="none" strike="noStrike">
                <a:solidFill>
                  <a:srgbClr val="22C55E"/>
                </a:solidFill>
                <a:latin typeface="Aptos" panose="020B00040202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15790D80-FDA2-8DC0-A0BC-96AD2E595FC4}"/>
                </a:ext>
              </a:extLst>
            </xdr:cNvPr>
            <xdr:cNvSpPr/>
          </xdr:nvSpPr>
          <xdr:spPr>
            <a:xfrm>
              <a:off x="2547066" y="1025390"/>
              <a:ext cx="3734712" cy="333955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ysClr val="windowText" lastClr="000000"/>
                  </a:solidFill>
                  <a:latin typeface="Aptos" panose="020B0004020202020204" pitchFamily="34" charset="0"/>
                </a:rPr>
                <a:t>TOTAL SUBSCRIPTIONS EA PLAY</a:t>
              </a:r>
              <a:r>
                <a:rPr lang="pt-BR" sz="1100" b="1" baseline="0">
                  <a:solidFill>
                    <a:sysClr val="windowText" lastClr="000000"/>
                  </a:solidFill>
                  <a:latin typeface="Aptos" panose="020B0004020202020204" pitchFamily="34" charset="0"/>
                </a:rPr>
                <a:t> SEASON PASS</a:t>
              </a:r>
              <a:endParaRPr lang="pt-BR" sz="1100" b="1">
                <a:solidFill>
                  <a:sysClr val="windowText" lastClr="000000"/>
                </a:solidFill>
                <a:latin typeface="Aptos" panose="020B0004020202020204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0CBCAF1-176E-4285-BB09-6041A9408118}"/>
              </a:ext>
            </a:extLst>
          </xdr:cNvPr>
          <xdr:cNvGrpSpPr/>
        </xdr:nvGrpSpPr>
        <xdr:grpSpPr>
          <a:xfrm>
            <a:off x="7551964" y="1469572"/>
            <a:ext cx="952500" cy="462565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ECDC00D9-3A93-29C7-8563-F4D5717CDF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FA4B5A07-116F-C302-A105-F2A9C2DF0E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290248</xdr:colOff>
      <xdr:row>12</xdr:row>
      <xdr:rowOff>81643</xdr:rowOff>
    </xdr:from>
    <xdr:to>
      <xdr:col>16</xdr:col>
      <xdr:colOff>580364</xdr:colOff>
      <xdr:row>27</xdr:row>
      <xdr:rowOff>68036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8923176-8C31-7414-F566-BD4F22B16B52}"/>
            </a:ext>
          </a:extLst>
        </xdr:cNvPr>
        <xdr:cNvGrpSpPr/>
      </xdr:nvGrpSpPr>
      <xdr:grpSpPr>
        <a:xfrm>
          <a:off x="2521819" y="2639786"/>
          <a:ext cx="8685724" cy="2843893"/>
          <a:chOff x="2521819" y="2558143"/>
          <a:chExt cx="8685714" cy="284389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14F2923-F040-7724-A34D-8A170D75C350}"/>
              </a:ext>
            </a:extLst>
          </xdr:cNvPr>
          <xdr:cNvGrpSpPr/>
        </xdr:nvGrpSpPr>
        <xdr:grpSpPr>
          <a:xfrm>
            <a:off x="2521819" y="2571751"/>
            <a:ext cx="8677773" cy="2830285"/>
            <a:chOff x="3303318" y="1654969"/>
            <a:chExt cx="4132800" cy="2333625"/>
          </a:xfrm>
        </xdr:grpSpPr>
        <xdr:sp macro="" textlink="">
          <xdr:nvSpPr>
            <xdr:cNvPr id="5" name="Retângulo 4">
              <a:extLst>
                <a:ext uri="{FF2B5EF4-FFF2-40B4-BE49-F238E27FC236}">
                  <a16:creationId xmlns:a16="http://schemas.microsoft.com/office/drawing/2014/main" id="{52079DD3-6E69-2A05-BD7E-E0757EBA47A4}"/>
                </a:ext>
              </a:extLst>
            </xdr:cNvPr>
            <xdr:cNvSpPr/>
          </xdr:nvSpPr>
          <xdr:spPr>
            <a:xfrm>
              <a:off x="3303984" y="1654969"/>
              <a:ext cx="4131469" cy="2333625"/>
            </a:xfrm>
            <a:prstGeom prst="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F050EC7-1D71-48AA-9166-B7D2333D9C74}"/>
                </a:ext>
              </a:extLst>
            </xdr:cNvPr>
            <xdr:cNvGraphicFramePr>
              <a:graphicFrameLocks/>
            </xdr:cNvGraphicFramePr>
          </xdr:nvGraphicFramePr>
          <xdr:xfrm>
            <a:off x="3303318" y="1879355"/>
            <a:ext cx="4132800" cy="21088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E517EA99-C2A1-4B17-9DA2-74E899F34640}"/>
              </a:ext>
            </a:extLst>
          </xdr:cNvPr>
          <xdr:cNvSpPr/>
        </xdr:nvSpPr>
        <xdr:spPr>
          <a:xfrm>
            <a:off x="2527933" y="2558143"/>
            <a:ext cx="8679600" cy="33385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  <a:latin typeface="Aptos" panose="020B0004020202020204" pitchFamily="34" charset="0"/>
              </a:rPr>
              <a:t>TOTAL SUBSCRIPTIONS XBOX</a:t>
            </a:r>
            <a:r>
              <a:rPr lang="pt-BR" sz="1100" b="1" baseline="0">
                <a:solidFill>
                  <a:sysClr val="windowText" lastClr="000000"/>
                </a:solidFill>
                <a:latin typeface="Aptos" panose="020B0004020202020204" pitchFamily="34" charset="0"/>
              </a:rPr>
              <a:t> GAME PASS</a:t>
            </a:r>
            <a:endParaRPr lang="pt-BR" sz="1100" b="1">
              <a:solidFill>
                <a:sysClr val="windowText" lastClr="000000"/>
              </a:solidFill>
              <a:latin typeface="Aptos" panose="020B0004020202020204" pitchFamily="34" charset="0"/>
            </a:endParaRPr>
          </a:p>
        </xdr:txBody>
      </xdr:sp>
    </xdr:grpSp>
    <xdr:clientData/>
  </xdr:twoCellAnchor>
  <xdr:twoCellAnchor editAs="absolute">
    <xdr:from>
      <xdr:col>0</xdr:col>
      <xdr:colOff>554495</xdr:colOff>
      <xdr:row>0</xdr:row>
      <xdr:rowOff>104986</xdr:rowOff>
    </xdr:from>
    <xdr:to>
      <xdr:col>0</xdr:col>
      <xdr:colOff>1197429</xdr:colOff>
      <xdr:row>2</xdr:row>
      <xdr:rowOff>44691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5808FA44-2F85-45A3-A127-B4BEF0BDD0BF}"/>
            </a:ext>
          </a:extLst>
        </xdr:cNvPr>
        <xdr:cNvSpPr/>
      </xdr:nvSpPr>
      <xdr:spPr>
        <a:xfrm>
          <a:off x="554495" y="104986"/>
          <a:ext cx="642934" cy="62006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3637C495-09FA-4E74-9F1F-5D859D220A77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dson" refreshedDate="46254.876984722221" createdVersion="8" refreshedVersion="8" minRefreshableVersion="3" recordCount="295" xr:uid="{BE3A94F1-E51E-48B5-BDBD-758208352F9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199977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9C402-D150-47CE-A493-5134DDC1F06F}" name="tbl_annual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8FCD0-4062-467F-B45C-C28CAFF7E050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89F81-1893-44F3-866C-A861BE91AF10}" name="tbl_easeasonpass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274C043-3F0D-480B-B2E7-7811E0A65524}" sourceName="Subscription Type">
  <pivotTables>
    <pivotTable tabId="3" name="tbl_annual_total"/>
    <pivotTable tabId="3" name="tbl_easeasonpass_total"/>
    <pivotTable tabId="3" name="Tabela dinâmica3"/>
  </pivotTables>
  <data>
    <tabular pivotCacheId="31999777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FE7FEDC-2276-4827-8F7A-3BBC8432A45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5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2" sqref="C2:K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06"/>
  <sheetViews>
    <sheetView topLeftCell="A18" workbookViewId="0">
      <selection activeCell="C2" sqref="C2:K2"/>
    </sheetView>
  </sheetViews>
  <sheetFormatPr defaultRowHeight="15" x14ac:dyDescent="0.25"/>
  <cols>
    <col min="1" max="1" width="9.140625" style="12"/>
    <col min="2" max="2" width="18.85546875" style="12" bestFit="1" customWidth="1"/>
    <col min="3" max="3" width="19.28515625" style="12" bestFit="1" customWidth="1"/>
    <col min="4" max="4" width="30.5703125" style="12" bestFit="1" customWidth="1"/>
    <col min="5" max="5" width="6.28515625" style="12" customWidth="1"/>
    <col min="6" max="6" width="19.140625" style="12" bestFit="1" customWidth="1"/>
    <col min="7" max="7" width="27.7109375" style="12" bestFit="1" customWidth="1"/>
    <col min="8" max="8" width="5.42578125" style="12" customWidth="1"/>
    <col min="9" max="9" width="21.140625" style="12" bestFit="1" customWidth="1"/>
    <col min="10" max="11" width="35.140625" style="12" bestFit="1" customWidth="1"/>
    <col min="12" max="15" width="9.7109375" style="12" bestFit="1" customWidth="1"/>
    <col min="16" max="16" width="15.5703125" style="12" bestFit="1" customWidth="1"/>
    <col min="17" max="17" width="12.140625" style="12" bestFit="1" customWidth="1"/>
    <col min="18" max="16384" width="9.140625" style="12"/>
  </cols>
  <sheetData>
    <row r="2" spans="2:6" x14ac:dyDescent="0.25">
      <c r="B2" s="21" t="s">
        <v>313</v>
      </c>
      <c r="C2" s="21"/>
      <c r="D2" s="21"/>
      <c r="E2" s="21"/>
      <c r="F2" s="21"/>
    </row>
    <row r="4" spans="2:6" x14ac:dyDescent="0.25">
      <c r="B4" s="12" t="s">
        <v>319</v>
      </c>
    </row>
    <row r="5" spans="2:6" x14ac:dyDescent="0.25">
      <c r="B5" t="s">
        <v>318</v>
      </c>
      <c r="C5"/>
    </row>
    <row r="6" spans="2:6" x14ac:dyDescent="0.25">
      <c r="B6"/>
      <c r="C6"/>
    </row>
    <row r="7" spans="2:6" x14ac:dyDescent="0.25">
      <c r="B7"/>
      <c r="C7"/>
    </row>
    <row r="8" spans="2:6" x14ac:dyDescent="0.25">
      <c r="B8"/>
      <c r="C8"/>
    </row>
    <row r="9" spans="2:6" x14ac:dyDescent="0.25">
      <c r="B9" s="13" t="s">
        <v>16</v>
      </c>
      <c r="C9" t="s">
        <v>317</v>
      </c>
    </row>
    <row r="11" spans="2:6" x14ac:dyDescent="0.25">
      <c r="B11" s="13" t="s">
        <v>314</v>
      </c>
      <c r="C11" t="s">
        <v>316</v>
      </c>
      <c r="D11"/>
    </row>
    <row r="12" spans="2:6" x14ac:dyDescent="0.25">
      <c r="B12" s="14" t="s">
        <v>23</v>
      </c>
      <c r="C12" s="15">
        <v>3847</v>
      </c>
      <c r="D12"/>
    </row>
    <row r="13" spans="2:6" x14ac:dyDescent="0.25">
      <c r="B13" s="14" t="s">
        <v>19</v>
      </c>
      <c r="C13" s="15">
        <v>3786</v>
      </c>
      <c r="D13"/>
    </row>
    <row r="14" spans="2:6" x14ac:dyDescent="0.25">
      <c r="B14" s="14" t="s">
        <v>315</v>
      </c>
      <c r="C14" s="15">
        <v>7633</v>
      </c>
      <c r="D14"/>
    </row>
    <row r="15" spans="2:6" x14ac:dyDescent="0.25">
      <c r="B15"/>
      <c r="C15"/>
      <c r="D15"/>
    </row>
    <row r="16" spans="2:6" x14ac:dyDescent="0.25">
      <c r="B16"/>
      <c r="C16"/>
      <c r="D16"/>
    </row>
    <row r="17" spans="2:4" x14ac:dyDescent="0.25">
      <c r="B17" s="14" t="s">
        <v>321</v>
      </c>
      <c r="C17"/>
      <c r="D17"/>
    </row>
    <row r="18" spans="2:4" x14ac:dyDescent="0.25">
      <c r="B18"/>
      <c r="C18"/>
      <c r="D18"/>
    </row>
    <row r="19" spans="2:4" x14ac:dyDescent="0.25">
      <c r="B19" s="13" t="s">
        <v>16</v>
      </c>
      <c r="C19" t="s">
        <v>317</v>
      </c>
      <c r="D19"/>
    </row>
    <row r="20" spans="2:4" x14ac:dyDescent="0.25">
      <c r="D20"/>
    </row>
    <row r="21" spans="2:4" x14ac:dyDescent="0.25">
      <c r="B21" s="13" t="s">
        <v>314</v>
      </c>
      <c r="C21" t="s">
        <v>322</v>
      </c>
      <c r="D21"/>
    </row>
    <row r="22" spans="2:4" x14ac:dyDescent="0.25">
      <c r="B22" s="14" t="s">
        <v>22</v>
      </c>
      <c r="C22" s="16">
        <v>0</v>
      </c>
      <c r="D22"/>
    </row>
    <row r="23" spans="2:4" x14ac:dyDescent="0.25">
      <c r="B23" s="14" t="s">
        <v>26</v>
      </c>
      <c r="C23" s="16">
        <v>0</v>
      </c>
      <c r="D23"/>
    </row>
    <row r="24" spans="2:4" x14ac:dyDescent="0.25">
      <c r="B24" s="14" t="s">
        <v>18</v>
      </c>
      <c r="C24" s="16">
        <v>2940</v>
      </c>
      <c r="D24"/>
    </row>
    <row r="25" spans="2:4" x14ac:dyDescent="0.25">
      <c r="B25" s="14" t="s">
        <v>315</v>
      </c>
      <c r="C25" s="16">
        <v>2940</v>
      </c>
      <c r="D25" s="16">
        <f>C25</f>
        <v>2940</v>
      </c>
    </row>
    <row r="26" spans="2:4" x14ac:dyDescent="0.25">
      <c r="B26"/>
      <c r="C26"/>
      <c r="D26"/>
    </row>
    <row r="27" spans="2:4" x14ac:dyDescent="0.25">
      <c r="B27"/>
      <c r="C27"/>
      <c r="D27"/>
    </row>
    <row r="28" spans="2:4" x14ac:dyDescent="0.25">
      <c r="B28" s="14" t="s">
        <v>323</v>
      </c>
      <c r="C28"/>
      <c r="D28"/>
    </row>
    <row r="29" spans="2:4" x14ac:dyDescent="0.25">
      <c r="B29"/>
      <c r="C29"/>
      <c r="D29"/>
    </row>
    <row r="30" spans="2:4" x14ac:dyDescent="0.25">
      <c r="B30" s="13" t="s">
        <v>16</v>
      </c>
      <c r="C30" t="s">
        <v>317</v>
      </c>
      <c r="D30"/>
    </row>
    <row r="31" spans="2:4" x14ac:dyDescent="0.25">
      <c r="D31"/>
    </row>
    <row r="32" spans="2:4" x14ac:dyDescent="0.25">
      <c r="B32" s="13" t="s">
        <v>314</v>
      </c>
      <c r="C32" t="s">
        <v>324</v>
      </c>
      <c r="D32"/>
    </row>
    <row r="33" spans="2:4" x14ac:dyDescent="0.25">
      <c r="B33" s="14" t="s">
        <v>22</v>
      </c>
      <c r="C33" s="16">
        <v>0</v>
      </c>
      <c r="D33"/>
    </row>
    <row r="34" spans="2:4" x14ac:dyDescent="0.25">
      <c r="B34" s="14" t="s">
        <v>26</v>
      </c>
      <c r="C34" s="16">
        <v>1920</v>
      </c>
      <c r="D34"/>
    </row>
    <row r="35" spans="2:4" x14ac:dyDescent="0.25">
      <c r="B35" s="14" t="s">
        <v>18</v>
      </c>
      <c r="C35" s="16">
        <v>1960</v>
      </c>
      <c r="D35"/>
    </row>
    <row r="36" spans="2:4" x14ac:dyDescent="0.25">
      <c r="B36" s="14" t="s">
        <v>315</v>
      </c>
      <c r="C36" s="16">
        <v>3880</v>
      </c>
      <c r="D36" s="16">
        <f>C36</f>
        <v>3880</v>
      </c>
    </row>
    <row r="37" spans="2:4" x14ac:dyDescent="0.25">
      <c r="B37"/>
      <c r="C37"/>
    </row>
    <row r="38" spans="2:4" x14ac:dyDescent="0.25">
      <c r="B38"/>
      <c r="C38"/>
    </row>
    <row r="39" spans="2:4" x14ac:dyDescent="0.25">
      <c r="B39"/>
      <c r="C39"/>
    </row>
    <row r="40" spans="2:4" x14ac:dyDescent="0.25">
      <c r="B40"/>
      <c r="C40"/>
    </row>
    <row r="41" spans="2:4" x14ac:dyDescent="0.25">
      <c r="B41"/>
      <c r="C41"/>
    </row>
    <row r="42" spans="2:4" x14ac:dyDescent="0.25">
      <c r="B42"/>
      <c r="C42"/>
    </row>
    <row r="43" spans="2:4" x14ac:dyDescent="0.25">
      <c r="B43"/>
      <c r="C43"/>
    </row>
    <row r="44" spans="2:4" x14ac:dyDescent="0.25">
      <c r="B44"/>
      <c r="C44"/>
    </row>
    <row r="45" spans="2:4" x14ac:dyDescent="0.25">
      <c r="B45"/>
      <c r="C45"/>
    </row>
    <row r="46" spans="2:4" x14ac:dyDescent="0.25">
      <c r="B46"/>
      <c r="C46"/>
    </row>
    <row r="47" spans="2:4" x14ac:dyDescent="0.25">
      <c r="B47"/>
      <c r="C47"/>
    </row>
    <row r="48" spans="2:4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</sheetData>
  <mergeCells count="1">
    <mergeCell ref="B2:F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29"/>
  <sheetViews>
    <sheetView showGridLines="0" showRowColHeaders="0" tabSelected="1" zoomScale="70" zoomScaleNormal="70" workbookViewId="0">
      <selection activeCell="M2" sqref="M2:Q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29.85546875" style="5" customWidth="1"/>
    <col min="2" max="2" width="3.5703125" style="7" customWidth="1"/>
    <col min="3" max="11" width="9.140625" style="7" customWidth="1"/>
    <col min="12" max="12" width="6.5703125" style="7" customWidth="1"/>
    <col min="13" max="16" width="9.140625" style="7" customWidth="1"/>
    <col min="17" max="17" width="9.5703125" style="7" customWidth="1"/>
    <col min="18" max="18" width="3" style="7" customWidth="1"/>
    <col min="19" max="16384" width="9.140625" style="7" hidden="1"/>
  </cols>
  <sheetData>
    <row r="1" spans="1:17" customFormat="1" x14ac:dyDescent="0.25">
      <c r="A1" s="5"/>
    </row>
    <row r="2" spans="1:17" customFormat="1" ht="39" customHeight="1" thickBot="1" x14ac:dyDescent="0.45">
      <c r="A2" s="5"/>
      <c r="C2" s="19" t="s">
        <v>320</v>
      </c>
      <c r="D2" s="19"/>
      <c r="E2" s="19"/>
      <c r="F2" s="19"/>
      <c r="G2" s="19"/>
      <c r="H2" s="19"/>
      <c r="I2" s="19"/>
      <c r="J2" s="19"/>
      <c r="K2" s="19"/>
      <c r="L2" s="18"/>
      <c r="M2" s="20" t="s">
        <v>326</v>
      </c>
      <c r="N2" s="20"/>
      <c r="O2" s="20"/>
      <c r="P2" s="20"/>
      <c r="Q2" s="20"/>
    </row>
    <row r="3" spans="1:17" customFormat="1" ht="12" customHeight="1" thickTop="1" x14ac:dyDescent="0.25">
      <c r="A3" s="5"/>
    </row>
    <row r="4" spans="1:17" x14ac:dyDescent="0.25">
      <c r="A4" s="17" t="s">
        <v>325</v>
      </c>
    </row>
    <row r="5" spans="1:17" ht="7.5" customHeight="1" x14ac:dyDescent="0.25"/>
    <row r="6" spans="1:17" ht="10.5" customHeight="1" x14ac:dyDescent="0.25"/>
    <row r="7" spans="1:17" ht="9.75" customHeight="1" x14ac:dyDescent="0.25"/>
    <row r="8" spans="1:17" ht="33" customHeight="1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</sheetData>
  <mergeCells count="2">
    <mergeCell ref="C2:K2"/>
    <mergeCell ref="M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Hudson Cordeiro</cp:lastModifiedBy>
  <dcterms:created xsi:type="dcterms:W3CDTF">2024-12-19T13:13:10Z</dcterms:created>
  <dcterms:modified xsi:type="dcterms:W3CDTF">2026-08-21T12:02:08Z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